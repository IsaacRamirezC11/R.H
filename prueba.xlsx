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.buenrrostro\Music\AhorroSolidario_DEV(19-08-2026)\"/>
    </mc:Choice>
  </mc:AlternateContent>
  <xr:revisionPtr revIDLastSave="0" documentId="8_{D9C71E5C-89C6-450C-8109-B127FB882B68}" xr6:coauthVersionLast="47" xr6:coauthVersionMax="47" xr10:uidLastSave="{00000000-0000-0000-0000-000000000000}"/>
  <bookViews>
    <workbookView xWindow="3510" yWindow="3510" windowWidth="21600" windowHeight="11295" xr2:uid="{7262A968-9CBF-4299-9B09-DC568ECF2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X2" i="1" l="1"/>
  <c r="DW2" i="1"/>
  <c r="DY2" i="1" s="1"/>
</calcChain>
</file>

<file path=xl/sharedStrings.xml><?xml version="1.0" encoding="utf-8"?>
<sst xmlns="http://schemas.openxmlformats.org/spreadsheetml/2006/main" count="147" uniqueCount="147">
  <si>
    <t>FOLIO</t>
  </si>
  <si>
    <t>FOLIO2</t>
  </si>
  <si>
    <t>QUINCENA</t>
  </si>
  <si>
    <t>CICLO</t>
  </si>
  <si>
    <t>NUM_EMP</t>
  </si>
  <si>
    <t>RFC</t>
  </si>
  <si>
    <t>HOM</t>
  </si>
  <si>
    <t>PATERNO</t>
  </si>
  <si>
    <t>MATERNO</t>
  </si>
  <si>
    <t>NOMBRE</t>
  </si>
  <si>
    <t>CURP</t>
  </si>
  <si>
    <t>NUM_PLAZA</t>
  </si>
  <si>
    <t>ZONA_PAGO</t>
  </si>
  <si>
    <t>UR</t>
  </si>
  <si>
    <t>CODIGO</t>
  </si>
  <si>
    <t>NIVEL</t>
  </si>
  <si>
    <t>ZE</t>
  </si>
  <si>
    <t>AGRUP</t>
  </si>
  <si>
    <t>CLAS</t>
  </si>
  <si>
    <t>SCLAS</t>
  </si>
  <si>
    <t>NUM_CUENTA</t>
  </si>
  <si>
    <t>NUM_CLABE</t>
  </si>
  <si>
    <t>NUM_CHEQUE</t>
  </si>
  <si>
    <t>FECHA DESDE</t>
  </si>
  <si>
    <t>FECHA HASTA</t>
  </si>
  <si>
    <t>DIAS PAGADOS</t>
  </si>
  <si>
    <t>TIPOMOV_DENOM_CORTA</t>
  </si>
  <si>
    <t>VIGENCIA INI</t>
  </si>
  <si>
    <t>VIGENCIA FIN</t>
  </si>
  <si>
    <t>P_A1_SDO</t>
  </si>
  <si>
    <t>P_A2_SDO</t>
  </si>
  <si>
    <t>P_A3_SDO</t>
  </si>
  <si>
    <t>P_A4_SDO</t>
  </si>
  <si>
    <t>P_A5_SDO</t>
  </si>
  <si>
    <t>P_01R_SDO</t>
  </si>
  <si>
    <t>P_01r_SDO</t>
  </si>
  <si>
    <t>P_02_SDO</t>
  </si>
  <si>
    <t>P_05_SDO</t>
  </si>
  <si>
    <t>P_06_SDO</t>
  </si>
  <si>
    <t>P_07_SDO</t>
  </si>
  <si>
    <t>P_12_SDO</t>
  </si>
  <si>
    <t>P_13_SDO</t>
  </si>
  <si>
    <t>P_17_SDO</t>
  </si>
  <si>
    <t>P_18_SDO</t>
  </si>
  <si>
    <t>P_18F_SDO</t>
  </si>
  <si>
    <t>P_19R_SDO</t>
  </si>
  <si>
    <t>P_24_SDO</t>
  </si>
  <si>
    <t>P_3G_SDO</t>
  </si>
  <si>
    <t>P_30_SDO</t>
  </si>
  <si>
    <t>P_32_SDO</t>
  </si>
  <si>
    <t>P_37_SDO</t>
  </si>
  <si>
    <t>P_38_SDO</t>
  </si>
  <si>
    <t>P_44_SDO</t>
  </si>
  <si>
    <t>P_45_SDO</t>
  </si>
  <si>
    <t>P_46_SDO</t>
  </si>
  <si>
    <t>P_48_SDO</t>
  </si>
  <si>
    <t>P_50_SDO</t>
  </si>
  <si>
    <t>P_62_SDO</t>
  </si>
  <si>
    <t>P_62M_SDO</t>
  </si>
  <si>
    <t>P_75_SDO</t>
  </si>
  <si>
    <t>P_76_SDO</t>
  </si>
  <si>
    <t>P_77_SDO</t>
  </si>
  <si>
    <t>P_81_SDO</t>
  </si>
  <si>
    <t>P_82_SDO</t>
  </si>
  <si>
    <t>P_84_SDO</t>
  </si>
  <si>
    <t>P_94_SDO</t>
  </si>
  <si>
    <t>P_95_SDO</t>
  </si>
  <si>
    <t>P_122_SDO</t>
  </si>
  <si>
    <t>P_123_SDO</t>
  </si>
  <si>
    <t>P_123_LIQ</t>
  </si>
  <si>
    <t>D_IV_SDO</t>
  </si>
  <si>
    <t>D_RV_SDO</t>
  </si>
  <si>
    <t>D_SC_SDO</t>
  </si>
  <si>
    <t>D_TA_SDO</t>
  </si>
  <si>
    <t>D_TP_SDO</t>
  </si>
  <si>
    <t>D_01_SDO</t>
  </si>
  <si>
    <t>D_01_SSI</t>
  </si>
  <si>
    <t>D_01_COM</t>
  </si>
  <si>
    <t>D_01_AUT</t>
  </si>
  <si>
    <t>D_01_VAC</t>
  </si>
  <si>
    <t>D_01_CAS</t>
  </si>
  <si>
    <t>D_01_RIE</t>
  </si>
  <si>
    <t>D_01_AGU</t>
  </si>
  <si>
    <t>D_01C_SDO</t>
  </si>
  <si>
    <t>D_01c_SDO</t>
  </si>
  <si>
    <t>D_02_SDO</t>
  </si>
  <si>
    <t>D_03_SDO</t>
  </si>
  <si>
    <t>D_04_SDO</t>
  </si>
  <si>
    <t>D_06_SDO</t>
  </si>
  <si>
    <t>D_08_SDO</t>
  </si>
  <si>
    <t>D_12_SDO</t>
  </si>
  <si>
    <t>D_17_SDO</t>
  </si>
  <si>
    <t>D_18_SDO</t>
  </si>
  <si>
    <t>D_19_SDO</t>
  </si>
  <si>
    <t>D_19L_SDO</t>
  </si>
  <si>
    <t>D_19A_SDO</t>
  </si>
  <si>
    <t>D_19C_SDO</t>
  </si>
  <si>
    <t>D_19F_SDO</t>
  </si>
  <si>
    <t>D_19N_SDO</t>
  </si>
  <si>
    <t>D_20_SDO</t>
  </si>
  <si>
    <t>D_21_SDO</t>
  </si>
  <si>
    <t>D_26_SDO</t>
  </si>
  <si>
    <t>D_29_SDO</t>
  </si>
  <si>
    <t>D_50_SDO</t>
  </si>
  <si>
    <t>D_51_SDO</t>
  </si>
  <si>
    <t>D_55_SDO</t>
  </si>
  <si>
    <t>D_56_SDO</t>
  </si>
  <si>
    <t>D_57_SDO</t>
  </si>
  <si>
    <t>D_58_SDO</t>
  </si>
  <si>
    <t>D_62_SDO</t>
  </si>
  <si>
    <t>D_62M_SDO</t>
  </si>
  <si>
    <t>D_64_SDO</t>
  </si>
  <si>
    <t>D_65_SDO</t>
  </si>
  <si>
    <t>D_75_SDO</t>
  </si>
  <si>
    <t>D_75S_SDO</t>
  </si>
  <si>
    <t>D_76_SDO</t>
  </si>
  <si>
    <t>D_77_SDO</t>
  </si>
  <si>
    <t>D_79_SDO</t>
  </si>
  <si>
    <t>D_81_SDO</t>
  </si>
  <si>
    <t>D_82_SDO</t>
  </si>
  <si>
    <t>D_83_SDO</t>
  </si>
  <si>
    <t>D_84_SDO</t>
  </si>
  <si>
    <t>D_100_SDO</t>
  </si>
  <si>
    <t>D_32_SDO</t>
  </si>
  <si>
    <t>D_32D_SDO</t>
  </si>
  <si>
    <t>ACTIVO</t>
  </si>
  <si>
    <t>PERCEPCION</t>
  </si>
  <si>
    <t>DEDUCCION</t>
  </si>
  <si>
    <t>LIQUIDO</t>
  </si>
  <si>
    <t>ORD_SDO_EV_202614</t>
  </si>
  <si>
    <t>ORD_SDO_EV_202614_SDO_DEP</t>
  </si>
  <si>
    <t>CADJ850618</t>
  </si>
  <si>
    <t>UN2</t>
  </si>
  <si>
    <t>CARRILLO</t>
  </si>
  <si>
    <t>DELGADILLO</t>
  </si>
  <si>
    <t>JESSICA</t>
  </si>
  <si>
    <t>CADJ850618MDFRLS08</t>
  </si>
  <si>
    <t>20001</t>
  </si>
  <si>
    <t>FG0V006</t>
  </si>
  <si>
    <t>VY3</t>
  </si>
  <si>
    <t>CA</t>
  </si>
  <si>
    <t>ES</t>
  </si>
  <si>
    <t>DS</t>
  </si>
  <si>
    <t>56609770937</t>
  </si>
  <si>
    <t>014180566097709379</t>
  </si>
  <si>
    <t>CONTINUIDAD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</si>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</sst>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Verdana"/>
      <family val="2"/>
    </font>
    <font>
      <sz val="11"/>
      <color rgb="FF000080"/>
      <name val="Aptos Narrow"/>
      <family val="2"/>
      <scheme val="minor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0" xfId="0" applyFont="1" applyFill="1"/>
    <xf numFmtId="0" fontId="3" fillId="2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A21B-FA05-4F68-A1B5-0880FD972DF1}">
  <dimension ref="A1:DY2"/>
  <sheetViews>
    <sheetView tabSelected="1" workbookViewId="0">
      <selection activeCell="B6" sqref="B6"/>
    </sheetView>
  </sheetViews>
  <sheetFormatPr baseColWidth="10" defaultRowHeight="15" x14ac:dyDescent="0.25"/>
  <sheetData>
    <row r="1" spans="1:129" s="2" customFormat="1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s="2" customFormat="1" ht="31.5" x14ac:dyDescent="0.25">
      <c r="A2" s="3" t="s">
        <v>129</v>
      </c>
      <c r="B2" s="3" t="s">
        <v>130</v>
      </c>
      <c r="C2" s="3">
        <v>14</v>
      </c>
      <c r="D2" s="3">
        <v>2026</v>
      </c>
      <c r="E2" s="3">
        <v>26115</v>
      </c>
      <c r="F2" s="3" t="s">
        <v>131</v>
      </c>
      <c r="G2" s="4" t="s">
        <v>132</v>
      </c>
      <c r="H2" s="3" t="s">
        <v>133</v>
      </c>
      <c r="I2" s="3" t="s">
        <v>134</v>
      </c>
      <c r="J2" s="3" t="s">
        <v>135</v>
      </c>
      <c r="K2" s="3" t="s">
        <v>136</v>
      </c>
      <c r="L2" s="3">
        <v>79612</v>
      </c>
      <c r="M2" s="4" t="s">
        <v>137</v>
      </c>
      <c r="N2" s="3">
        <v>200</v>
      </c>
      <c r="O2" s="3" t="s">
        <v>138</v>
      </c>
      <c r="P2" s="4" t="s">
        <v>139</v>
      </c>
      <c r="Q2" s="3">
        <v>2</v>
      </c>
      <c r="R2" s="3" t="s">
        <v>140</v>
      </c>
      <c r="S2" s="3" t="s">
        <v>141</v>
      </c>
      <c r="T2" s="3" t="s">
        <v>142</v>
      </c>
      <c r="U2" s="4" t="s">
        <v>143</v>
      </c>
      <c r="V2" s="4" t="s">
        <v>144</v>
      </c>
      <c r="W2" s="3">
        <v>814281648</v>
      </c>
      <c r="X2" s="5">
        <v>46219</v>
      </c>
      <c r="Y2" s="5">
        <v>46234</v>
      </c>
      <c r="Z2" s="3">
        <v>15</v>
      </c>
      <c r="AA2" s="3" t="s">
        <v>145</v>
      </c>
      <c r="AB2" s="5">
        <v>46204</v>
      </c>
      <c r="AC2" s="5">
        <v>46295</v>
      </c>
      <c r="AD2" s="6">
        <v>0</v>
      </c>
      <c r="AE2" s="6">
        <v>122.5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3888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17678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604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29.53</v>
      </c>
      <c r="BT2" s="6">
        <v>289.44</v>
      </c>
      <c r="BU2" s="6">
        <v>23.63</v>
      </c>
      <c r="BV2" s="6">
        <v>129.94999999999999</v>
      </c>
      <c r="BW2" s="6">
        <v>29.53</v>
      </c>
      <c r="BX2" s="6">
        <v>3917.1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1401.24</v>
      </c>
      <c r="CJ2" s="6">
        <v>0</v>
      </c>
      <c r="CK2" s="6">
        <v>0</v>
      </c>
      <c r="CL2" s="6">
        <v>0</v>
      </c>
      <c r="CM2" s="6">
        <v>0</v>
      </c>
      <c r="CN2" s="6">
        <v>0</v>
      </c>
      <c r="CO2" s="6">
        <v>0</v>
      </c>
      <c r="CP2" s="6">
        <v>0</v>
      </c>
      <c r="CQ2" s="6">
        <v>0</v>
      </c>
      <c r="CR2" s="6">
        <v>0</v>
      </c>
      <c r="CS2" s="6">
        <v>0</v>
      </c>
      <c r="CT2" s="6">
        <v>0</v>
      </c>
      <c r="CU2" s="6">
        <v>0</v>
      </c>
      <c r="CV2" s="6">
        <v>0</v>
      </c>
      <c r="CW2" s="6">
        <v>0</v>
      </c>
      <c r="CX2" s="6">
        <v>0</v>
      </c>
      <c r="CY2" s="6">
        <v>0</v>
      </c>
      <c r="CZ2" s="6">
        <v>0</v>
      </c>
      <c r="DA2" s="6">
        <v>0</v>
      </c>
      <c r="DB2" s="6">
        <v>0</v>
      </c>
      <c r="DC2" s="6">
        <v>0</v>
      </c>
      <c r="DD2" s="6">
        <v>0</v>
      </c>
      <c r="DE2" s="6">
        <v>0</v>
      </c>
      <c r="DF2" s="6">
        <v>0</v>
      </c>
      <c r="DG2" s="6">
        <v>0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7.27</v>
      </c>
      <c r="DN2" s="6">
        <v>0</v>
      </c>
      <c r="DO2" s="6">
        <v>0</v>
      </c>
      <c r="DP2" s="6">
        <v>0</v>
      </c>
      <c r="DQ2" s="6">
        <v>0</v>
      </c>
      <c r="DR2" s="6">
        <v>0</v>
      </c>
      <c r="DS2" s="6">
        <v>80.209999999999994</v>
      </c>
      <c r="DT2" s="6">
        <v>0</v>
      </c>
      <c r="DU2" s="6">
        <v>0</v>
      </c>
      <c r="DV2" s="3" t="s">
        <v>146</v>
      </c>
      <c r="DW2" s="6">
        <f t="shared" ref="DW2" si="0">SUM(AD2:BR2)</f>
        <v>22292.5</v>
      </c>
      <c r="DX2" s="6">
        <f t="shared" ref="DX2" si="1">SUM(BS2:DU2)</f>
        <v>5907.9000000000005</v>
      </c>
      <c r="DY2" s="6">
        <f t="shared" ref="DY2" si="2">DW2-DX2</f>
        <v>16384.599999999999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Hamblet Alvarez Hernandez</dc:creator>
  <cp:lastModifiedBy>Hamblet Alvarez Hernandez</cp:lastModifiedBy>
  <dcterms:created xsi:type="dcterms:W3CDTF">2026-08-20T21:24:58Z</dcterms:created>
  <dcterms:modified xsi:type="dcterms:W3CDTF">2026-08-20T21:25:53Z</dcterms:modified>
</cp:coreProperties>
</file>